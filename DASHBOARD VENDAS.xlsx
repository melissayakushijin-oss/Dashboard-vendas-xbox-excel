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ouglas\Desktop\"/>
    </mc:Choice>
  </mc:AlternateContent>
  <bookViews>
    <workbookView xWindow="-120" yWindow="-120" windowWidth="20730" windowHeight="11040" tabRatio="48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52511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8" i="3" l="1"/>
  <c r="E26" i="3"/>
</calcChain>
</file>

<file path=xl/sharedStrings.xml><?xml version="1.0" encoding="utf-8"?>
<sst xmlns="http://schemas.openxmlformats.org/spreadsheetml/2006/main" count="2021" uniqueCount="324">
  <si>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</si>
  <si>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</si>
  <si>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</si>
  <si>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</si>
  <si>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</si>
  <si>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</si>
  <si>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</si>
  <si>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</si>
  <si>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</si>
  <si>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</si>
  <si>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</si>
  <si>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</si>
  <si>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</si>
  <si>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</si>
  <si>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</si>
  <si>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</si>
  <si>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</si>
  <si>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</si>
  <si>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</si>
  <si>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</si>
  <si>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</si>
  <si>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</si>
  <si>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</si>
  <si>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</si>
  <si>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</si>
  <si>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</si>
  <si>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</si>
  <si>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</si>
  <si>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</si>
  <si>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</si>
  <si>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</si>
  <si>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</si>
  <si>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</si>
  <si>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</si>
  <si>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</si>
  <si>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</si>
  <si>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</si>
  <si>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</si>
  <si>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</si>
  <si>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</si>
  <si>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</si>
  <si>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</si>
  <si>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</si>
  <si>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</si>
  <si>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</si>
  <si>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</si>
  <si>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</si>
  <si>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</si>
  <si>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</si>
  <si>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</si>
  <si>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</si>
  <si>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</si>
  <si>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</si>
  <si>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</si>
  <si>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</si>
  <si>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</si>
  <si>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</si>
  <si>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</si>
  <si>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</si>
  <si>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</si>
  <si>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</si>
  <si>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</si>
  <si>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</si>
  <si>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</si>
  <si>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</si>
  <si>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</si>
  <si>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</si>
  <si>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</si>
  <si>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</si>
  <si>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</si>
  <si>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</si>
  <si>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</si>
  <si>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</si>
  <si>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</si>
  <si>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</si>
  <si>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</si>
  <si>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</si>
  <si>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</si>
  <si>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</si>
  <si>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</si>
  <si>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</si>
  <si>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</si>
  <si>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</si>
  <si>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</si>
  <si>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</si>
  <si>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</si>
  <si>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</si>
  <si>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</si>
  <si>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</si>
  <si>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</si>
  <si>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</si>
  <si>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</si>
  <si>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</si>
  <si>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</si>
  <si>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</si>
  <si>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</si>
  <si>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</si>
  <si>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</si>
  <si>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</si>
  <si>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</si>
  <si>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</si>
  <si>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</si>
  <si>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</si>
  <si>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</si>
  <si>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</si>
  <si>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</si>
  <si>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</si>
  <si>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</si>
  <si>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</si>
  <si>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</si>
  <si>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</si>
  <si>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</si>
  <si>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</si>
  <si>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</si>
  <si>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</si>
  <si>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</si>
  <si>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</si>
  <si>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</si>
  <si>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</si>
  <si>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</si>
  <si>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</si>
  <si>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</si>
  <si>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</si>
  <si>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</si>
  <si>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</si>
  <si>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</si>
  <si>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</si>
  <si>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</si>
  <si>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</si>
  <si>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</si>
  <si>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</si>
  <si>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</si>
  <si>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</si>
  <si>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</si>
  <si>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</si>
  <si>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</si>
  <si>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</si>
  <si>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</si>
  <si>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</si>
  <si>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</si>
  <si>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</si>
  <si>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</si>
  <si>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</si>
  <si>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</si>
  <si>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</si>
  <si>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</si>
  <si>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</si>
  <si>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</si>
  <si>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</si>
  <si>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</si>
  <si>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</si>
  <si>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</si>
  <si>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</si>
  <si>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</si>
  <si>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</si>
  <si>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</si>
  <si>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</si>
  <si>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</si>
  <si>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</si>
  <si>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</si>
  <si>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</si>
  <si>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</si>
  <si>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</si>
  <si>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</si>
  <si>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</si>
  <si>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</si>
  <si>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</si>
  <si>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</si>
  <si>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</si>
  <si>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</si>
  <si>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</si>
  <si>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</si>
  <si>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</si>
  <si>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</si>
  <si>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</si>
  <si>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</si>
  <si>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</si>
  <si>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</si>
  <si>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</si>
  <si>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</si>
  <si>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</si>
  <si>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</si>
  <si>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</si>
  <si>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</si>
  <si>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</si>
  <si>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</si>
  <si>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</si>
  <si>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</si>
  <si>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</si>
  <si>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</si>
  <si>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</si>
  <si>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</si>
  <si>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</si>
  <si>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</si>
  <si>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</si>
  <si>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</si>
  <si>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</si>
  <si>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</si>
  <si>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</si>
  <si>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</si>
  <si>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</si>
  <si>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</si>
  <si>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</si>
  <si>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</si>
  <si>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</si>
  <si>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</si>
  <si>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</si>
  <si>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</si>
  <si>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</si>
  <si>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</si>
  <si>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</si>
  <si>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</si>
  <si>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</si>
  <si>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</si>
  <si>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</si>
  <si>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</si>
  <si>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</si>
  <si>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</si>
  <si>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</si>
  <si>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</si>
  <si>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</si>
  <si>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</si>
  <si>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</si>
  <si>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</si>
  <si>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</si>
  <si>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</si>
  <si>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</si>
  <si>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</si>
  <si>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</si>
  <si>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</si>
  <si>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</si>
  <si>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</si>
  <si>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</si>
  <si>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</si>
  <si>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</si>
  <si>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</si>
  <si>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</si>
  <si>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</si>
  <si>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</si>
  <si>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</si>
  <si>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</si>
  <si>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</si>
  <si>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</si>
  <si>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</si>
  <si>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</si>
  <si>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</si>
  <si>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</si>
  <si>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</si>
  <si>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</si>
  <si>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</si>
  <si>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</si>
  <si>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</si>
  <si>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</si>
  <si>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</si>
  <si>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</si>
  <si>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</si>
  <si>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</si>
  <si>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</si>
  <si>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</si>
  <si>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</si>
  <si>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</si>
  <si>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</si>
  <si>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</si>
  <si>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</si>
  <si>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</si>
  <si>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</si>
  <si>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</si>
  <si>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</si>
  <si>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</si>
  <si>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</si>
  <si>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</si>
  <si>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</si>
  <si>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</si>
  <si>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</si>
  <si>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</si>
  <si>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</si>
  <si>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</si>
  <si>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</si>
  <si>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</si>
  <si>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</si>
  <si>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</si>
  <si>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</si>
  <si>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</si>
  <si>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</si>
  <si>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</si>
  <si>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</si>
  <si>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</si>
  <si>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</si>
  <si>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</si>
  <si>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</si>
  <si>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</si>
  <si>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</si>
  <si>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</si>
  <si>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</si>
  <si>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</si>
  <si>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</si>
  <si>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</si>
  <si>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</si>
  <si>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</si>
  <si>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</si>
  <si>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</si>
  <si>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</si>
  <si>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</si>
  <si>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</si>
  <si>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</si>
  <si>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</si>
  <si>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</si>
  <si>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</si>
  <si>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</si>
  <si>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</si>
  <si>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</si>
  <si>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</si>
  <si>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</si>
  <si>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</si>
  <si>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</si>
  <si>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</si>
  <si>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(Tudo)</t>
  </si>
  <si>
    <r>
      <t>Pergunta de Negócio 1 - Qual</t>
    </r>
    <r>
      <rPr>
        <b/>
        <sz val="11"/>
        <color theme="1"/>
        <rFont val="Aptos Narrow"/>
        <scheme val="minor"/>
      </rPr>
      <t xml:space="preserve"> o faturamento Total</t>
    </r>
    <r>
      <rPr>
        <sz val="11"/>
        <color theme="1"/>
        <rFont val="Aptos Narrow"/>
        <family val="2"/>
        <scheme val="minor"/>
      </rPr>
      <t xml:space="preserve"> de vendas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</si>
  <si>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Pergunta de Negócio 2 - Qual o faturamento total de vendas de planos anuais separado por autorenovação ou por não autorenovação.</t>
  </si>
  <si>
    <t>XBOX GAME PASS SUBSCRIPTIONS SALES</t>
  </si>
  <si>
    <t>Pergunta de Negócio 3 - Total de Vendas de Assinaturas do EA Play</t>
  </si>
  <si>
    <t>Soma de EA Play Season Pass</t>
  </si>
  <si>
    <t>Pergunta de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</si>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</sst>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6"/>
      <color rgb="FF22C55E"/>
      <name val="Segoe UI"/>
      <family val="2"/>
    </font>
    <font>
      <b/>
      <sz val="18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DEDE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13F99C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8" borderId="0" xfId="0" applyFill="1"/>
    <xf numFmtId="164" fontId="0" fillId="0" borderId="0" xfId="0" applyNumberFormat="1"/>
    <xf numFmtId="0" fontId="5" fillId="0" borderId="2" xfId="1" applyFont="1" applyBorder="1"/>
    <xf numFmtId="0" fontId="0" fillId="0" borderId="2" xfId="0" applyBorder="1"/>
    <xf numFmtId="0" fontId="6" fillId="0" borderId="2" xfId="1" applyFont="1" applyBorder="1" applyAlignment="1">
      <alignment horizontal="left" indent="5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 patternType="solid">
          <bgColor rgb="FF11CD50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3 2" pivot="0" table="0" count="10">
      <tableStyleElement type="wholeTable" dxfId="15"/>
      <tableStyleElement type="headerRow" dxfId="14"/>
    </tableStyle>
  </tableStyles>
  <colors>
    <mruColors>
      <color rgb="FF2AE6B1"/>
      <color rgb="FF13F99C"/>
      <color rgb="FF11CD50"/>
      <color rgb="FF13DF57"/>
      <color rgb="FF22C55E"/>
      <color rgb="FFEDEDED"/>
      <color rgb="FFE8E6E9"/>
      <color rgb="FF5BF6A8"/>
      <color rgb="FF000000"/>
      <color rgb="FFE0E0E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VENDAS.xlsx]C̳álculos!tbl_anual_total</c:name>
    <c:fmtId val="3"/>
  </c:pivotSource>
  <c:chart>
    <c:autoTitleDeleted val="1"/>
    <c:pivotFmts>
      <c:pivotFmt>
        <c:idx val="0"/>
        <c:spPr>
          <a:solidFill>
            <a:srgbClr val="13F99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3F99C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13F99C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11CD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</c:pivotFmt>
      <c:pivotFmt>
        <c:idx val="4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7894770233345199E-2"/>
          <c:y val="4.8999714840600103E-2"/>
          <c:w val="0.95300092897919553"/>
          <c:h val="0.902000570318799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3F99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11CD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C̳álculos!$B$14:$B$16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C̳álculos!$C$14:$C$16</c:f>
              <c:numCache>
                <c:formatCode>General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958704"/>
        <c:axId val="143963600"/>
      </c:barChart>
      <c:catAx>
        <c:axId val="143958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963600"/>
        <c:crosses val="autoZero"/>
        <c:auto val="1"/>
        <c:lblAlgn val="ctr"/>
        <c:lblOffset val="100"/>
        <c:noMultiLvlLbl val="0"/>
      </c:catAx>
      <c:valAx>
        <c:axId val="143963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9587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=""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=""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=""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=""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=""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10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62932</xdr:colOff>
      <xdr:row>0</xdr:row>
      <xdr:rowOff>0</xdr:rowOff>
    </xdr:from>
    <xdr:to>
      <xdr:col>2</xdr:col>
      <xdr:colOff>540884</xdr:colOff>
      <xdr:row>3</xdr:row>
      <xdr:rowOff>108843</xdr:rowOff>
    </xdr:to>
    <xdr:pic>
      <xdr:nvPicPr>
        <xdr:cNvPr id="4" name="Imagem 3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1" r="71209"/>
        <a:stretch/>
      </xdr:blipFill>
      <xdr:spPr>
        <a:xfrm>
          <a:off x="2090396" y="0"/>
          <a:ext cx="750095" cy="9797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127567</xdr:colOff>
      <xdr:row>7</xdr:row>
      <xdr:rowOff>316366</xdr:rowOff>
    </xdr:from>
    <xdr:to>
      <xdr:col>0</xdr:col>
      <xdr:colOff>1956367</xdr:colOff>
      <xdr:row>14</xdr:row>
      <xdr:rowOff>16668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567" y="1661072"/>
              <a:ext cx="1828800" cy="11906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272142</xdr:colOff>
      <xdr:row>6</xdr:row>
      <xdr:rowOff>13607</xdr:rowOff>
    </xdr:from>
    <xdr:to>
      <xdr:col>9</xdr:col>
      <xdr:colOff>489856</xdr:colOff>
      <xdr:row>14</xdr:row>
      <xdr:rowOff>136071</xdr:rowOff>
    </xdr:to>
    <xdr:grpSp>
      <xdr:nvGrpSpPr>
        <xdr:cNvPr id="13" name="Grupo 12"/>
        <xdr:cNvGrpSpPr/>
      </xdr:nvGrpSpPr>
      <xdr:grpSpPr>
        <a:xfrm>
          <a:off x="2300407" y="1235048"/>
          <a:ext cx="5282773" cy="1736111"/>
          <a:chOff x="8926284" y="1156607"/>
          <a:chExt cx="5252357" cy="1728107"/>
        </a:xfrm>
      </xdr:grpSpPr>
      <xdr:grpSp>
        <xdr:nvGrpSpPr>
          <xdr:cNvPr id="12" name="Grupo 11"/>
          <xdr:cNvGrpSpPr/>
        </xdr:nvGrpSpPr>
        <xdr:grpSpPr>
          <a:xfrm>
            <a:off x="8926284" y="1156607"/>
            <a:ext cx="5252357" cy="1728107"/>
            <a:chOff x="2258785" y="1115786"/>
            <a:chExt cx="5252357" cy="1728107"/>
          </a:xfrm>
        </xdr:grpSpPr>
        <xdr:sp macro="" textlink="">
          <xdr:nvSpPr>
            <xdr:cNvPr id="8" name="Retângulo de cantos arredondados 7"/>
            <xdr:cNvSpPr/>
          </xdr:nvSpPr>
          <xdr:spPr>
            <a:xfrm>
              <a:off x="2258786" y="1115786"/>
              <a:ext cx="5250656" cy="1728107"/>
            </a:xfrm>
            <a:prstGeom prst="roundRect">
              <a:avLst>
                <a:gd name="adj" fmla="val 10830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26">
          <xdr:nvSpPr>
            <xdr:cNvPr id="9" name="Retângulo de cantos arredondados 8"/>
            <xdr:cNvSpPr/>
          </xdr:nvSpPr>
          <xdr:spPr>
            <a:xfrm>
              <a:off x="3483429" y="1644423"/>
              <a:ext cx="4014107" cy="1047748"/>
            </a:xfrm>
            <a:prstGeom prst="roundRect">
              <a:avLst>
                <a:gd name="adj" fmla="val 10830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DFDFA10-D4A8-441C-86AC-FCAA2E5E26C1}" type="TxLink">
                <a:rPr lang="en-US" sz="3600" b="0" i="0" u="none" strike="noStrike">
                  <a:solidFill>
                    <a:srgbClr val="11CD5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R$ 2.940,00</a:t>
              </a:fld>
              <a:endParaRPr lang="pt-BR" sz="3600">
                <a:solidFill>
                  <a:srgbClr val="11CD5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1" name="Arredondar Retângulo no Mesmo Canto Lateral 10"/>
            <xdr:cNvSpPr/>
          </xdr:nvSpPr>
          <xdr:spPr>
            <a:xfrm>
              <a:off x="2258785" y="1115786"/>
              <a:ext cx="5252357" cy="449036"/>
            </a:xfrm>
            <a:prstGeom prst="round2SameRect">
              <a:avLst/>
            </a:prstGeom>
            <a:solidFill>
              <a:srgbClr val="13F99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EA PLAY SEASON PASS</a:t>
              </a:r>
            </a:p>
          </xdr:txBody>
        </xdr:sp>
      </xdr:grpSp>
      <xdr:pic>
        <xdr:nvPicPr>
          <xdr:cNvPr id="10" name="Imagem 9">
            <a:extLst>
              <a:ext uri="{FF2B5EF4-FFF2-40B4-BE49-F238E27FC236}">
                <a16:creationId xmlns=""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56965" y="1632855"/>
            <a:ext cx="1371600" cy="1152525"/>
          </a:xfrm>
          <a:prstGeom prst="rect">
            <a:avLst/>
          </a:prstGeom>
        </xdr:spPr>
      </xdr:pic>
    </xdr:grpSp>
    <xdr:clientData/>
  </xdr:twoCellAnchor>
  <xdr:twoCellAnchor editAs="absolute">
    <xdr:from>
      <xdr:col>11</xdr:col>
      <xdr:colOff>258537</xdr:colOff>
      <xdr:row>6</xdr:row>
      <xdr:rowOff>13607</xdr:rowOff>
    </xdr:from>
    <xdr:to>
      <xdr:col>20</xdr:col>
      <xdr:colOff>54430</xdr:colOff>
      <xdr:row>14</xdr:row>
      <xdr:rowOff>136071</xdr:rowOff>
    </xdr:to>
    <xdr:grpSp>
      <xdr:nvGrpSpPr>
        <xdr:cNvPr id="2" name="Grupo 1"/>
        <xdr:cNvGrpSpPr/>
      </xdr:nvGrpSpPr>
      <xdr:grpSpPr>
        <a:xfrm>
          <a:off x="8718978" y="1235048"/>
          <a:ext cx="5376423" cy="1736111"/>
          <a:chOff x="8341179" y="1170213"/>
          <a:chExt cx="5361215" cy="1728107"/>
        </a:xfrm>
      </xdr:grpSpPr>
      <xdr:grpSp>
        <xdr:nvGrpSpPr>
          <xdr:cNvPr id="15" name="Grupo 14"/>
          <xdr:cNvGrpSpPr/>
        </xdr:nvGrpSpPr>
        <xdr:grpSpPr>
          <a:xfrm>
            <a:off x="8341179" y="1170213"/>
            <a:ext cx="5361215" cy="1728107"/>
            <a:chOff x="2258785" y="1115786"/>
            <a:chExt cx="5361215" cy="1728107"/>
          </a:xfrm>
        </xdr:grpSpPr>
        <xdr:sp macro="" textlink="">
          <xdr:nvSpPr>
            <xdr:cNvPr id="17" name="Retângulo de cantos arredondados 16"/>
            <xdr:cNvSpPr/>
          </xdr:nvSpPr>
          <xdr:spPr>
            <a:xfrm>
              <a:off x="2258786" y="1115786"/>
              <a:ext cx="5250656" cy="1728107"/>
            </a:xfrm>
            <a:prstGeom prst="roundRect">
              <a:avLst>
                <a:gd name="adj" fmla="val 10830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8">
          <xdr:nvSpPr>
            <xdr:cNvPr id="18" name="Retângulo de cantos arredondados 17"/>
            <xdr:cNvSpPr/>
          </xdr:nvSpPr>
          <xdr:spPr>
            <a:xfrm>
              <a:off x="3605893" y="1603601"/>
              <a:ext cx="4014107" cy="1047748"/>
            </a:xfrm>
            <a:prstGeom prst="roundRect">
              <a:avLst>
                <a:gd name="adj" fmla="val 10830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066D8EA-2952-4BBB-9CEE-F7C19799D02D}" type="TxLink">
                <a:rPr lang="en-US" sz="3600" b="0" i="0" u="none" strike="noStrike">
                  <a:solidFill>
                    <a:srgbClr val="11CD5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R$ 3.880,00</a:t>
              </a:fld>
              <a:endParaRPr lang="pt-BR" sz="3600">
                <a:solidFill>
                  <a:srgbClr val="11CD5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9" name="Arredondar Retângulo no Mesmo Canto Lateral 18"/>
            <xdr:cNvSpPr/>
          </xdr:nvSpPr>
          <xdr:spPr>
            <a:xfrm>
              <a:off x="2258785" y="1115786"/>
              <a:ext cx="5252357" cy="449036"/>
            </a:xfrm>
            <a:prstGeom prst="round2SameRect">
              <a:avLst/>
            </a:prstGeom>
            <a:solidFill>
              <a:srgbClr val="13F99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SEASON PASS</a:t>
              </a:r>
            </a:p>
          </xdr:txBody>
        </xdr:sp>
      </xdr:grpSp>
      <xdr:grpSp>
        <xdr:nvGrpSpPr>
          <xdr:cNvPr id="20" name="Agrupar 16">
            <a:extLst>
              <a:ext uri="{FF2B5EF4-FFF2-40B4-BE49-F238E27FC236}">
                <a16:creationId xmlns=""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8885465" y="1850571"/>
            <a:ext cx="1251857" cy="632732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=""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13">
              <a:extLst>
                <a:ext uri="{FF2B5EF4-FFF2-40B4-BE49-F238E27FC236}">
                  <a16:creationId xmlns=""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14605</xdr:colOff>
      <xdr:row>17</xdr:row>
      <xdr:rowOff>39418</xdr:rowOff>
    </xdr:from>
    <xdr:to>
      <xdr:col>19</xdr:col>
      <xdr:colOff>228920</xdr:colOff>
      <xdr:row>34</xdr:row>
      <xdr:rowOff>155079</xdr:rowOff>
    </xdr:to>
    <xdr:grpSp>
      <xdr:nvGrpSpPr>
        <xdr:cNvPr id="25" name="Grupo 24"/>
        <xdr:cNvGrpSpPr/>
      </xdr:nvGrpSpPr>
      <xdr:grpSpPr>
        <a:xfrm>
          <a:off x="2323017" y="3412389"/>
          <a:ext cx="11655521" cy="3163661"/>
          <a:chOff x="2303006" y="3187471"/>
          <a:chExt cx="11603494" cy="3122840"/>
        </a:xfrm>
      </xdr:grpSpPr>
      <xdr:grpSp>
        <xdr:nvGrpSpPr>
          <xdr:cNvPr id="24" name="Grupo 23"/>
          <xdr:cNvGrpSpPr/>
        </xdr:nvGrpSpPr>
        <xdr:grpSpPr>
          <a:xfrm>
            <a:off x="2303006" y="3187471"/>
            <a:ext cx="11603494" cy="3042899"/>
            <a:chOff x="2330220" y="3377972"/>
            <a:chExt cx="11603494" cy="3029292"/>
          </a:xfrm>
        </xdr:grpSpPr>
        <xdr:sp macro="" textlink="">
          <xdr:nvSpPr>
            <xdr:cNvPr id="7" name="Retângulo de cantos arredondados 6"/>
            <xdr:cNvSpPr/>
          </xdr:nvSpPr>
          <xdr:spPr>
            <a:xfrm>
              <a:off x="2303006" y="3201078"/>
              <a:ext cx="11603494" cy="3029292"/>
            </a:xfrm>
            <a:prstGeom prst="roundRect">
              <a:avLst>
                <a:gd name="adj" fmla="val 10830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3" name="Arredondar Retângulo no Mesmo Canto Lateral 22"/>
            <xdr:cNvSpPr/>
          </xdr:nvSpPr>
          <xdr:spPr>
            <a:xfrm>
              <a:off x="2303006" y="3187471"/>
              <a:ext cx="11603494" cy="449036"/>
            </a:xfrm>
            <a:prstGeom prst="round2SameRect">
              <a:avLst/>
            </a:prstGeom>
            <a:solidFill>
              <a:srgbClr val="13F99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XBOX GAME PASS</a:t>
              </a:r>
            </a:p>
          </xdr:txBody>
        </xdr:sp>
      </xdr:grpSp>
      <xdr:graphicFrame macro="">
        <xdr:nvGraphicFramePr>
          <xdr:cNvPr id="5" name="Gráfico 4"/>
          <xdr:cNvGraphicFramePr>
            <a:graphicFrameLocks/>
          </xdr:cNvGraphicFramePr>
        </xdr:nvGraphicFramePr>
        <xdr:xfrm>
          <a:off x="2583653" y="3459274"/>
          <a:ext cx="11159561" cy="28510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 editAs="absolute">
    <xdr:from>
      <xdr:col>0</xdr:col>
      <xdr:colOff>530680</xdr:colOff>
      <xdr:row>1</xdr:row>
      <xdr:rowOff>54429</xdr:rowOff>
    </xdr:from>
    <xdr:to>
      <xdr:col>0</xdr:col>
      <xdr:colOff>1306286</xdr:colOff>
      <xdr:row>3</xdr:row>
      <xdr:rowOff>27214</xdr:rowOff>
    </xdr:to>
    <xdr:sp macro="" textlink="">
      <xdr:nvSpPr>
        <xdr:cNvPr id="26" name="Elipse 25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/>
      </xdr:nvSpPr>
      <xdr:spPr>
        <a:xfrm>
          <a:off x="530680" y="231322"/>
          <a:ext cx="775606" cy="666749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149679</xdr:colOff>
      <xdr:row>5</xdr:row>
      <xdr:rowOff>95250</xdr:rowOff>
    </xdr:from>
    <xdr:to>
      <xdr:col>0</xdr:col>
      <xdr:colOff>1891393</xdr:colOff>
      <xdr:row>7</xdr:row>
      <xdr:rowOff>176892</xdr:rowOff>
    </xdr:to>
    <xdr:sp macro="" textlink="">
      <xdr:nvSpPr>
        <xdr:cNvPr id="27" name="Retângulo 26"/>
        <xdr:cNvSpPr/>
      </xdr:nvSpPr>
      <xdr:spPr>
        <a:xfrm>
          <a:off x="149679" y="1170214"/>
          <a:ext cx="1741714" cy="34017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&gt;Bem</a:t>
          </a:r>
          <a:r>
            <a:rPr lang="pt-BR" sz="1800" b="1" baseline="0">
              <a:latin typeface="Segoe UI" panose="020B0502040204020203" pitchFamily="34" charset="0"/>
              <a:cs typeface="Segoe UI" panose="020B0502040204020203" pitchFamily="34" charset="0"/>
            </a:rPr>
            <a:t> vinda!</a:t>
          </a:r>
          <a:endParaRPr lang="pt-BR" sz="18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217714</xdr:colOff>
      <xdr:row>2</xdr:row>
      <xdr:rowOff>231321</xdr:rowOff>
    </xdr:from>
    <xdr:to>
      <xdr:col>10</xdr:col>
      <xdr:colOff>13607</xdr:colOff>
      <xdr:row>5</xdr:row>
      <xdr:rowOff>81642</xdr:rowOff>
    </xdr:to>
    <xdr:sp macro="" textlink="">
      <xdr:nvSpPr>
        <xdr:cNvPr id="28" name="Retângulo 27"/>
        <xdr:cNvSpPr/>
      </xdr:nvSpPr>
      <xdr:spPr>
        <a:xfrm>
          <a:off x="2245178" y="816428"/>
          <a:ext cx="5510893" cy="34017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0" baseline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period: 01/01/2024 - 31/12/2024 I Update: 17/10/2026</a:t>
          </a:r>
          <a:endParaRPr lang="pt-BR" sz="1200" b="0">
            <a:solidFill>
              <a:schemeClr val="bg2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ouglas" refreshedDate="46312.691538194442" createdVersion="5" refreshedVersion="5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34:C38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seasonpass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B22:C2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ual_total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6">
  <location ref="B13:C16" firstHeaderRow="1" firstDataRow="1" firstDataCol="1" rowPageCount="1" colPageCount="1"/>
  <pivotFields count="13">
    <pivotField showAll="0"/>
    <pivotField name="tbl_annual_total"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ual_total"/>
    <pivotTable tabId="3" name="tbl_easeasonpass_total"/>
    <pivotTable tabId="3" name="Tabela dinâmica1"/>
  </pivotTables>
  <data>
    <tabular pivotCacheId="1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3 2" rowHeight="241300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/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11" zoomScaleNormal="100" workbookViewId="0">
      <selection activeCell="D31" sqref="D31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A2" zoomScale="90" zoomScaleNormal="90" workbookViewId="0">
      <selection activeCell="D31" sqref="D31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7:E38"/>
  <sheetViews>
    <sheetView showGridLines="0" topLeftCell="A13" zoomScale="90" zoomScaleNormal="90" workbookViewId="0">
      <selection activeCell="D31" sqref="D31"/>
    </sheetView>
  </sheetViews>
  <sheetFormatPr defaultRowHeight="14.25"/>
  <cols>
    <col min="2" max="2" width="18.125" customWidth="1"/>
    <col min="3" max="3" width="35.25" customWidth="1"/>
    <col min="4" max="4" width="9" customWidth="1"/>
    <col min="5" max="5" width="10.75" bestFit="1" customWidth="1"/>
    <col min="6" max="6" width="10.875" customWidth="1"/>
    <col min="7" max="7" width="5.375" customWidth="1"/>
    <col min="8" max="8" width="21.125" bestFit="1" customWidth="1"/>
    <col min="9" max="10" width="35.125" bestFit="1" customWidth="1"/>
    <col min="11" max="14" width="9.75" bestFit="1" customWidth="1"/>
    <col min="15" max="15" width="15.625" bestFit="1" customWidth="1"/>
    <col min="16" max="16" width="12.125" bestFit="1" customWidth="1"/>
  </cols>
  <sheetData>
    <row r="7" spans="2:3" ht="15">
      <c r="B7" t="s">
        <v>317</v>
      </c>
    </row>
    <row r="8" spans="2:3">
      <c r="B8" t="s">
        <v>318</v>
      </c>
    </row>
    <row r="11" spans="2:3">
      <c r="B11" s="12" t="s">
        <v>16</v>
      </c>
      <c r="C11" t="s">
        <v>316</v>
      </c>
    </row>
    <row r="13" spans="2:3">
      <c r="B13" s="12" t="s">
        <v>313</v>
      </c>
      <c r="C13" t="s">
        <v>315</v>
      </c>
    </row>
    <row r="14" spans="2:3">
      <c r="B14" s="13" t="s">
        <v>23</v>
      </c>
      <c r="C14" s="14">
        <v>3847</v>
      </c>
    </row>
    <row r="15" spans="2:3">
      <c r="B15" s="13" t="s">
        <v>19</v>
      </c>
      <c r="C15" s="14">
        <v>3786</v>
      </c>
    </row>
    <row r="16" spans="2:3">
      <c r="B16" s="13" t="s">
        <v>314</v>
      </c>
      <c r="C16" s="14">
        <v>7633</v>
      </c>
    </row>
    <row r="19" spans="2:5">
      <c r="B19" s="13" t="s">
        <v>320</v>
      </c>
    </row>
    <row r="20" spans="2:5">
      <c r="B20" s="12" t="s">
        <v>16</v>
      </c>
      <c r="C20" t="s">
        <v>316</v>
      </c>
    </row>
    <row r="22" spans="2:5">
      <c r="B22" s="12" t="s">
        <v>313</v>
      </c>
      <c r="C22" t="s">
        <v>321</v>
      </c>
    </row>
    <row r="23" spans="2:5">
      <c r="B23" s="13" t="s">
        <v>22</v>
      </c>
      <c r="C23" s="14">
        <v>0</v>
      </c>
    </row>
    <row r="24" spans="2:5">
      <c r="B24" s="13" t="s">
        <v>26</v>
      </c>
      <c r="C24" s="14">
        <v>0</v>
      </c>
    </row>
    <row r="25" spans="2:5">
      <c r="B25" s="13" t="s">
        <v>18</v>
      </c>
      <c r="C25" s="14">
        <v>2940</v>
      </c>
    </row>
    <row r="26" spans="2:5">
      <c r="B26" s="13" t="s">
        <v>314</v>
      </c>
      <c r="C26" s="14">
        <v>2940</v>
      </c>
      <c r="E26" s="16">
        <f>GETPIVOTDATA("EA Play Season Pass
Price",$B$22)</f>
        <v>2940</v>
      </c>
    </row>
    <row r="30" spans="2:5">
      <c r="B30" t="s">
        <v>322</v>
      </c>
    </row>
    <row r="32" spans="2:5">
      <c r="B32" s="12" t="s">
        <v>16</v>
      </c>
      <c r="C32" t="s">
        <v>316</v>
      </c>
    </row>
    <row r="34" spans="2:5">
      <c r="B34" s="12" t="s">
        <v>313</v>
      </c>
      <c r="C34" t="s">
        <v>323</v>
      </c>
    </row>
    <row r="35" spans="2:5">
      <c r="B35" s="13" t="s">
        <v>22</v>
      </c>
      <c r="C35" s="14">
        <v>0</v>
      </c>
    </row>
    <row r="36" spans="2:5">
      <c r="B36" s="13" t="s">
        <v>26</v>
      </c>
      <c r="C36" s="14">
        <v>1920</v>
      </c>
    </row>
    <row r="37" spans="2:5">
      <c r="B37" s="13" t="s">
        <v>18</v>
      </c>
      <c r="C37" s="14">
        <v>1960</v>
      </c>
    </row>
    <row r="38" spans="2:5">
      <c r="B38" s="13" t="s">
        <v>314</v>
      </c>
      <c r="C38" s="14">
        <v>3880</v>
      </c>
      <c r="E38" s="16">
        <f>GETPIVOTDATA("Minecraft Season Pass Price",$B$34)</f>
        <v>3880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80"/>
  <sheetViews>
    <sheetView showGridLines="0" showRowColHeaders="0" tabSelected="1" zoomScale="85" zoomScaleNormal="85" workbookViewId="0">
      <selection activeCell="U7" sqref="U7"/>
    </sheetView>
  </sheetViews>
  <sheetFormatPr defaultRowHeight="14.25"/>
  <cols>
    <col min="1" max="1" width="26.625" style="4" customWidth="1"/>
    <col min="2" max="2" width="3.625" customWidth="1"/>
    <col min="12" max="12" width="6.625" customWidth="1"/>
    <col min="19" max="19" width="9" customWidth="1"/>
    <col min="20" max="20" width="3.875" customWidth="1"/>
  </cols>
  <sheetData>
    <row r="2" spans="1:20" ht="32.25" customHeight="1" thickBot="1">
      <c r="C2" s="19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8"/>
      <c r="N2" s="18"/>
      <c r="O2" s="18"/>
      <c r="P2" s="18"/>
      <c r="Q2" s="18"/>
      <c r="R2" s="18"/>
      <c r="S2" s="18"/>
      <c r="T2" s="18"/>
    </row>
    <row r="3" spans="1:20" ht="22.5" customHeight="1"/>
    <row r="4" spans="1:20" s="15" customFormat="1" ht="8.25" customHeight="1">
      <c r="A4" s="4"/>
    </row>
    <row r="5" spans="1:20" s="15" customFormat="1" ht="7.5" customHeight="1">
      <c r="A5" s="4"/>
    </row>
    <row r="6" spans="1:20" s="15" customFormat="1" ht="10.5" customHeight="1">
      <c r="A6" s="4"/>
    </row>
    <row r="7" spans="1:20" s="15" customFormat="1" ht="9.75" customHeight="1">
      <c r="A7" s="4"/>
    </row>
    <row r="8" spans="1:20" s="15" customFormat="1" ht="33" customHeight="1">
      <c r="A8" s="4"/>
    </row>
    <row r="9" spans="1:20" s="15" customFormat="1">
      <c r="A9" s="4"/>
    </row>
    <row r="10" spans="1:20" s="15" customFormat="1">
      <c r="A10" s="4"/>
    </row>
    <row r="11" spans="1:20" s="15" customFormat="1">
      <c r="A11" s="4"/>
    </row>
    <row r="12" spans="1:20" s="15" customFormat="1">
      <c r="A12" s="4"/>
    </row>
    <row r="13" spans="1:20" s="15" customFormat="1">
      <c r="A13" s="4"/>
    </row>
    <row r="14" spans="1:20" s="15" customFormat="1">
      <c r="A14" s="4"/>
    </row>
    <row r="15" spans="1:20" s="15" customFormat="1">
      <c r="A15" s="4"/>
    </row>
    <row r="16" spans="1:20" s="15" customFormat="1">
      <c r="A16" s="4"/>
    </row>
    <row r="17" spans="1:1" s="15" customFormat="1">
      <c r="A17" s="4"/>
    </row>
    <row r="18" spans="1:1" s="15" customFormat="1">
      <c r="A18" s="4"/>
    </row>
    <row r="19" spans="1:1" s="15" customFormat="1">
      <c r="A19" s="4"/>
    </row>
    <row r="20" spans="1:1" s="15" customFormat="1">
      <c r="A20" s="4"/>
    </row>
    <row r="21" spans="1:1" s="15" customFormat="1">
      <c r="A21" s="4"/>
    </row>
    <row r="22" spans="1:1" s="15" customFormat="1">
      <c r="A22" s="4"/>
    </row>
    <row r="23" spans="1:1" s="15" customFormat="1">
      <c r="A23" s="4"/>
    </row>
    <row r="24" spans="1:1" s="15" customFormat="1">
      <c r="A24" s="4"/>
    </row>
    <row r="25" spans="1:1" s="15" customFormat="1">
      <c r="A25" s="4"/>
    </row>
    <row r="26" spans="1:1" s="15" customFormat="1">
      <c r="A26" s="4"/>
    </row>
    <row r="27" spans="1:1" s="15" customFormat="1">
      <c r="A27" s="4"/>
    </row>
    <row r="28" spans="1:1" s="15" customFormat="1">
      <c r="A28" s="4"/>
    </row>
    <row r="29" spans="1:1" s="15" customFormat="1">
      <c r="A29" s="4"/>
    </row>
    <row r="30" spans="1:1" s="15" customFormat="1">
      <c r="A30" s="4"/>
    </row>
    <row r="31" spans="1:1" s="15" customFormat="1">
      <c r="A31" s="4"/>
    </row>
    <row r="32" spans="1:1" s="15" customFormat="1">
      <c r="A32" s="4"/>
    </row>
    <row r="33" spans="1:1" s="15" customFormat="1">
      <c r="A33" s="4"/>
    </row>
    <row r="34" spans="1:1" s="15" customFormat="1">
      <c r="A34" s="4"/>
    </row>
    <row r="35" spans="1:1" s="15" customFormat="1">
      <c r="A35" s="4"/>
    </row>
    <row r="36" spans="1:1" s="15" customFormat="1">
      <c r="A36" s="4"/>
    </row>
    <row r="37" spans="1:1" s="15" customFormat="1">
      <c r="A37" s="4"/>
    </row>
    <row r="38" spans="1:1" s="15" customFormat="1">
      <c r="A38" s="4"/>
    </row>
    <row r="39" spans="1:1" s="15" customFormat="1">
      <c r="A39" s="4"/>
    </row>
    <row r="40" spans="1:1" s="15" customFormat="1">
      <c r="A40" s="4"/>
    </row>
    <row r="41" spans="1:1" s="15" customFormat="1">
      <c r="A41" s="4"/>
    </row>
    <row r="42" spans="1:1" s="15" customFormat="1">
      <c r="A42" s="4"/>
    </row>
    <row r="43" spans="1:1" s="15" customFormat="1">
      <c r="A43" s="4"/>
    </row>
    <row r="44" spans="1:1" s="15" customFormat="1">
      <c r="A44" s="4"/>
    </row>
    <row r="45" spans="1:1" s="15" customFormat="1">
      <c r="A45" s="4"/>
    </row>
    <row r="46" spans="1:1" s="15" customFormat="1">
      <c r="A46" s="4"/>
    </row>
    <row r="47" spans="1:1" s="15" customFormat="1">
      <c r="A47" s="4"/>
    </row>
    <row r="48" spans="1:1" s="15" customFormat="1">
      <c r="A48" s="4"/>
    </row>
    <row r="49" spans="1:1" s="15" customFormat="1">
      <c r="A49" s="4"/>
    </row>
    <row r="50" spans="1:1" s="15" customFormat="1">
      <c r="A50" s="4"/>
    </row>
    <row r="51" spans="1:1" s="15" customFormat="1">
      <c r="A51" s="4"/>
    </row>
    <row r="52" spans="1:1" s="15" customFormat="1">
      <c r="A52" s="4"/>
    </row>
    <row r="53" spans="1:1" s="15" customFormat="1">
      <c r="A53" s="4"/>
    </row>
    <row r="54" spans="1:1" s="15" customFormat="1">
      <c r="A54" s="4"/>
    </row>
    <row r="55" spans="1:1" s="15" customFormat="1">
      <c r="A55" s="4"/>
    </row>
    <row r="56" spans="1:1" s="15" customFormat="1">
      <c r="A56" s="4"/>
    </row>
    <row r="57" spans="1:1" s="15" customFormat="1">
      <c r="A57" s="4"/>
    </row>
    <row r="58" spans="1:1" s="15" customFormat="1">
      <c r="A58" s="4"/>
    </row>
    <row r="59" spans="1:1" s="15" customFormat="1">
      <c r="A59" s="4"/>
    </row>
    <row r="60" spans="1:1" s="15" customFormat="1">
      <c r="A60" s="4"/>
    </row>
    <row r="61" spans="1:1" s="15" customFormat="1">
      <c r="A61" s="4"/>
    </row>
    <row r="62" spans="1:1" s="15" customFormat="1">
      <c r="A62" s="4"/>
    </row>
    <row r="63" spans="1:1" s="15" customFormat="1">
      <c r="A63" s="4"/>
    </row>
    <row r="64" spans="1:1" s="15" customFormat="1">
      <c r="A64" s="4"/>
    </row>
    <row r="65" spans="1:1" s="15" customFormat="1">
      <c r="A65" s="4"/>
    </row>
    <row r="66" spans="1:1" s="15" customFormat="1">
      <c r="A66" s="4"/>
    </row>
    <row r="67" spans="1:1" s="15" customFormat="1">
      <c r="A67" s="4"/>
    </row>
    <row r="68" spans="1:1" s="15" customFormat="1">
      <c r="A68" s="4"/>
    </row>
    <row r="69" spans="1:1" s="15" customFormat="1">
      <c r="A69" s="4"/>
    </row>
    <row r="70" spans="1:1" s="15" customFormat="1">
      <c r="A70" s="4"/>
    </row>
    <row r="71" spans="1:1" s="15" customFormat="1">
      <c r="A71" s="4"/>
    </row>
    <row r="72" spans="1:1" s="15" customFormat="1">
      <c r="A72" s="4"/>
    </row>
    <row r="73" spans="1:1" s="15" customFormat="1">
      <c r="A73" s="4"/>
    </row>
    <row r="74" spans="1:1" s="15" customFormat="1">
      <c r="A74" s="4"/>
    </row>
    <row r="75" spans="1:1" s="15" customFormat="1">
      <c r="A75" s="4"/>
    </row>
    <row r="76" spans="1:1" s="15" customFormat="1">
      <c r="A76" s="4"/>
    </row>
    <row r="77" spans="1:1" s="15" customFormat="1">
      <c r="A77" s="4"/>
    </row>
    <row r="78" spans="1:1" s="15" customFormat="1">
      <c r="A78" s="4"/>
    </row>
    <row r="79" spans="1:1" s="15" customFormat="1">
      <c r="A79" s="4"/>
    </row>
    <row r="80" spans="1:1" s="15" customFormat="1">
      <c r="A80" s="4"/>
    </row>
    <row r="81" spans="1:1" s="15" customFormat="1">
      <c r="A81" s="4"/>
    </row>
    <row r="82" spans="1:1" s="15" customFormat="1">
      <c r="A82" s="4"/>
    </row>
    <row r="83" spans="1:1" s="15" customFormat="1">
      <c r="A83" s="4"/>
    </row>
    <row r="84" spans="1:1" s="15" customFormat="1">
      <c r="A84" s="4"/>
    </row>
    <row r="85" spans="1:1" s="15" customFormat="1">
      <c r="A85" s="4"/>
    </row>
    <row r="86" spans="1:1" s="15" customFormat="1">
      <c r="A86" s="4"/>
    </row>
    <row r="87" spans="1:1" s="15" customFormat="1">
      <c r="A87" s="4"/>
    </row>
    <row r="88" spans="1:1" s="15" customFormat="1">
      <c r="A88" s="4"/>
    </row>
    <row r="89" spans="1:1" s="15" customFormat="1">
      <c r="A89" s="4"/>
    </row>
    <row r="90" spans="1:1" s="15" customFormat="1">
      <c r="A90" s="4"/>
    </row>
    <row r="91" spans="1:1" s="15" customFormat="1">
      <c r="A91" s="4"/>
    </row>
    <row r="92" spans="1:1" s="15" customFormat="1">
      <c r="A92" s="4"/>
    </row>
    <row r="93" spans="1:1" s="15" customFormat="1">
      <c r="A93" s="4"/>
    </row>
    <row r="94" spans="1:1" s="15" customFormat="1">
      <c r="A94" s="4"/>
    </row>
    <row r="95" spans="1:1" s="15" customFormat="1">
      <c r="A95" s="4"/>
    </row>
    <row r="96" spans="1:1" s="15" customFormat="1">
      <c r="A96" s="4"/>
    </row>
    <row r="97" spans="1:1" s="15" customFormat="1">
      <c r="A97" s="4"/>
    </row>
    <row r="98" spans="1:1" s="15" customFormat="1">
      <c r="A98" s="4"/>
    </row>
    <row r="99" spans="1:1" s="15" customFormat="1">
      <c r="A99" s="4"/>
    </row>
    <row r="100" spans="1:1" s="15" customFormat="1">
      <c r="A100" s="4"/>
    </row>
    <row r="101" spans="1:1" s="15" customFormat="1">
      <c r="A101" s="4"/>
    </row>
    <row r="102" spans="1:1" s="15" customFormat="1">
      <c r="A102" s="4"/>
    </row>
    <row r="103" spans="1:1" s="15" customFormat="1">
      <c r="A103" s="4"/>
    </row>
    <row r="104" spans="1:1" s="15" customFormat="1">
      <c r="A104" s="4"/>
    </row>
    <row r="105" spans="1:1" s="15" customFormat="1">
      <c r="A105" s="4"/>
    </row>
    <row r="106" spans="1:1" s="15" customFormat="1">
      <c r="A106" s="4"/>
    </row>
    <row r="107" spans="1:1" s="15" customFormat="1">
      <c r="A107" s="4"/>
    </row>
    <row r="108" spans="1:1" s="15" customFormat="1">
      <c r="A108" s="4"/>
    </row>
    <row r="109" spans="1:1" s="15" customFormat="1">
      <c r="A109" s="4"/>
    </row>
    <row r="110" spans="1:1" s="15" customFormat="1">
      <c r="A110" s="4"/>
    </row>
    <row r="111" spans="1:1" s="15" customFormat="1">
      <c r="A111" s="4"/>
    </row>
    <row r="112" spans="1:1" s="15" customFormat="1">
      <c r="A112" s="4"/>
    </row>
    <row r="113" spans="1:1" s="15" customFormat="1">
      <c r="A113" s="4"/>
    </row>
    <row r="114" spans="1:1" s="15" customFormat="1">
      <c r="A114" s="4"/>
    </row>
    <row r="115" spans="1:1" s="15" customFormat="1">
      <c r="A115" s="4"/>
    </row>
    <row r="116" spans="1:1" s="15" customFormat="1">
      <c r="A116" s="4"/>
    </row>
    <row r="117" spans="1:1" s="15" customFormat="1">
      <c r="A117" s="4"/>
    </row>
    <row r="118" spans="1:1" s="15" customFormat="1">
      <c r="A118" s="4"/>
    </row>
    <row r="119" spans="1:1" s="15" customFormat="1">
      <c r="A119" s="4"/>
    </row>
    <row r="120" spans="1:1" s="15" customFormat="1">
      <c r="A120" s="4"/>
    </row>
    <row r="121" spans="1:1" s="15" customFormat="1">
      <c r="A121" s="4"/>
    </row>
    <row r="122" spans="1:1" s="15" customFormat="1">
      <c r="A122" s="4"/>
    </row>
    <row r="123" spans="1:1" s="15" customFormat="1">
      <c r="A123" s="4"/>
    </row>
    <row r="124" spans="1:1" s="15" customFormat="1">
      <c r="A124" s="4"/>
    </row>
    <row r="125" spans="1:1" s="15" customFormat="1">
      <c r="A125" s="4"/>
    </row>
    <row r="126" spans="1:1" s="15" customFormat="1">
      <c r="A126" s="4"/>
    </row>
    <row r="127" spans="1:1" s="15" customFormat="1">
      <c r="A127" s="4"/>
    </row>
    <row r="128" spans="1:1" s="15" customFormat="1">
      <c r="A128" s="4"/>
    </row>
    <row r="129" spans="1:1" s="15" customFormat="1">
      <c r="A129" s="4"/>
    </row>
    <row r="130" spans="1:1" s="15" customFormat="1">
      <c r="A130" s="4"/>
    </row>
    <row r="131" spans="1:1" s="15" customFormat="1">
      <c r="A131" s="4"/>
    </row>
    <row r="132" spans="1:1" s="15" customFormat="1">
      <c r="A132" s="4"/>
    </row>
    <row r="133" spans="1:1" s="15" customFormat="1">
      <c r="A133" s="4"/>
    </row>
    <row r="134" spans="1:1" s="15" customFormat="1">
      <c r="A134" s="4"/>
    </row>
    <row r="135" spans="1:1" s="15" customFormat="1">
      <c r="A135" s="4"/>
    </row>
    <row r="136" spans="1:1" s="15" customFormat="1">
      <c r="A136" s="4"/>
    </row>
    <row r="137" spans="1:1" s="15" customFormat="1">
      <c r="A137" s="4"/>
    </row>
    <row r="138" spans="1:1" s="15" customFormat="1">
      <c r="A138" s="4"/>
    </row>
    <row r="139" spans="1:1" s="15" customFormat="1">
      <c r="A139" s="4"/>
    </row>
    <row r="140" spans="1:1" s="15" customFormat="1">
      <c r="A140" s="4"/>
    </row>
    <row r="141" spans="1:1" s="15" customFormat="1">
      <c r="A141" s="4"/>
    </row>
    <row r="142" spans="1:1" s="15" customFormat="1">
      <c r="A142" s="4"/>
    </row>
    <row r="143" spans="1:1" s="15" customFormat="1">
      <c r="A143" s="4"/>
    </row>
    <row r="144" spans="1:1" s="15" customFormat="1">
      <c r="A144" s="4"/>
    </row>
    <row r="145" spans="1:1" s="15" customFormat="1">
      <c r="A145" s="4"/>
    </row>
    <row r="146" spans="1:1" s="15" customFormat="1">
      <c r="A146" s="4"/>
    </row>
    <row r="147" spans="1:1" s="15" customFormat="1">
      <c r="A147" s="4"/>
    </row>
    <row r="148" spans="1:1" s="15" customFormat="1">
      <c r="A148" s="4"/>
    </row>
    <row r="149" spans="1:1" s="15" customFormat="1">
      <c r="A149" s="4"/>
    </row>
    <row r="150" spans="1:1" s="15" customFormat="1">
      <c r="A150" s="4"/>
    </row>
    <row r="151" spans="1:1" s="15" customFormat="1">
      <c r="A151" s="4"/>
    </row>
    <row r="152" spans="1:1" s="15" customFormat="1">
      <c r="A152" s="4"/>
    </row>
    <row r="153" spans="1:1" s="15" customFormat="1">
      <c r="A153" s="4"/>
    </row>
    <row r="154" spans="1:1" s="15" customFormat="1">
      <c r="A154" s="4"/>
    </row>
    <row r="155" spans="1:1" s="15" customFormat="1">
      <c r="A155" s="4"/>
    </row>
    <row r="156" spans="1:1" s="15" customFormat="1">
      <c r="A156" s="4"/>
    </row>
    <row r="157" spans="1:1" s="15" customFormat="1">
      <c r="A157" s="4"/>
    </row>
    <row r="158" spans="1:1" s="15" customFormat="1">
      <c r="A158" s="4"/>
    </row>
    <row r="159" spans="1:1" s="15" customFormat="1">
      <c r="A159" s="4"/>
    </row>
    <row r="160" spans="1:1" s="15" customFormat="1">
      <c r="A160" s="4"/>
    </row>
    <row r="161" spans="1:1" s="15" customFormat="1">
      <c r="A161" s="4"/>
    </row>
    <row r="162" spans="1:1" s="15" customFormat="1">
      <c r="A162" s="4"/>
    </row>
    <row r="163" spans="1:1" s="15" customFormat="1">
      <c r="A163" s="4"/>
    </row>
    <row r="164" spans="1:1" s="15" customFormat="1">
      <c r="A164" s="4"/>
    </row>
    <row r="165" spans="1:1" s="15" customFormat="1">
      <c r="A165" s="4"/>
    </row>
    <row r="166" spans="1:1" s="15" customFormat="1">
      <c r="A166" s="4"/>
    </row>
    <row r="167" spans="1:1" s="15" customFormat="1">
      <c r="A167" s="4"/>
    </row>
    <row r="168" spans="1:1" s="15" customFormat="1">
      <c r="A168" s="4"/>
    </row>
    <row r="169" spans="1:1" s="15" customFormat="1">
      <c r="A169" s="4"/>
    </row>
    <row r="170" spans="1:1" s="15" customFormat="1">
      <c r="A170" s="4"/>
    </row>
    <row r="171" spans="1:1" s="15" customFormat="1">
      <c r="A171" s="4"/>
    </row>
    <row r="172" spans="1:1" s="15" customFormat="1">
      <c r="A172" s="4"/>
    </row>
    <row r="173" spans="1:1" s="15" customFormat="1">
      <c r="A173" s="4"/>
    </row>
    <row r="174" spans="1:1" s="15" customFormat="1">
      <c r="A174" s="4"/>
    </row>
    <row r="175" spans="1:1" s="15" customFormat="1">
      <c r="A175" s="4"/>
    </row>
    <row r="176" spans="1:1" s="15" customFormat="1">
      <c r="A176" s="4"/>
    </row>
    <row r="177" spans="1:1" s="15" customFormat="1">
      <c r="A177" s="4"/>
    </row>
    <row r="178" spans="1:1" s="15" customFormat="1">
      <c r="A178" s="4"/>
    </row>
    <row r="179" spans="1:1" s="15" customFormat="1">
      <c r="A179" s="4"/>
    </row>
    <row r="180" spans="1:1" s="15" customFormat="1">
      <c r="A180" s="4"/>
    </row>
    <row r="181" spans="1:1" s="15" customFormat="1">
      <c r="A181" s="4"/>
    </row>
    <row r="182" spans="1:1" s="15" customFormat="1">
      <c r="A182" s="4"/>
    </row>
    <row r="183" spans="1:1" s="15" customFormat="1">
      <c r="A183" s="4"/>
    </row>
    <row r="184" spans="1:1" s="15" customFormat="1">
      <c r="A184" s="4"/>
    </row>
    <row r="185" spans="1:1" s="15" customFormat="1">
      <c r="A185" s="4"/>
    </row>
    <row r="186" spans="1:1" s="15" customFormat="1">
      <c r="A186" s="4"/>
    </row>
    <row r="187" spans="1:1" s="15" customFormat="1">
      <c r="A187" s="4"/>
    </row>
    <row r="188" spans="1:1" s="15" customFormat="1">
      <c r="A188" s="4"/>
    </row>
    <row r="189" spans="1:1" s="15" customFormat="1">
      <c r="A189" s="4"/>
    </row>
    <row r="190" spans="1:1" s="15" customFormat="1">
      <c r="A190" s="4"/>
    </row>
    <row r="191" spans="1:1" s="15" customFormat="1">
      <c r="A191" s="4"/>
    </row>
    <row r="192" spans="1:1" s="15" customFormat="1">
      <c r="A192" s="4"/>
    </row>
    <row r="193" spans="1:1" s="15" customFormat="1">
      <c r="A193" s="4"/>
    </row>
    <row r="194" spans="1:1" s="15" customFormat="1">
      <c r="A194" s="4"/>
    </row>
    <row r="195" spans="1:1" s="15" customFormat="1">
      <c r="A195" s="4"/>
    </row>
    <row r="196" spans="1:1" s="15" customFormat="1">
      <c r="A196" s="4"/>
    </row>
    <row r="197" spans="1:1" s="15" customFormat="1">
      <c r="A197" s="4"/>
    </row>
    <row r="198" spans="1:1" s="15" customFormat="1">
      <c r="A198" s="4"/>
    </row>
    <row r="199" spans="1:1" s="15" customFormat="1">
      <c r="A199" s="4"/>
    </row>
    <row r="200" spans="1:1" s="15" customFormat="1">
      <c r="A200" s="4"/>
    </row>
    <row r="201" spans="1:1" s="15" customFormat="1">
      <c r="A201" s="4"/>
    </row>
    <row r="202" spans="1:1" s="15" customFormat="1">
      <c r="A202" s="4"/>
    </row>
    <row r="203" spans="1:1" s="15" customFormat="1">
      <c r="A203" s="4"/>
    </row>
    <row r="204" spans="1:1" s="15" customFormat="1">
      <c r="A204" s="4"/>
    </row>
    <row r="205" spans="1:1" s="15" customFormat="1">
      <c r="A205" s="4"/>
    </row>
    <row r="206" spans="1:1" s="15" customFormat="1">
      <c r="A206" s="4"/>
    </row>
    <row r="207" spans="1:1" s="15" customFormat="1">
      <c r="A207" s="4"/>
    </row>
    <row r="208" spans="1:1" s="15" customFormat="1">
      <c r="A208" s="4"/>
    </row>
    <row r="209" spans="1:1" s="15" customFormat="1">
      <c r="A209" s="4"/>
    </row>
    <row r="210" spans="1:1" s="15" customFormat="1">
      <c r="A210" s="4"/>
    </row>
    <row r="211" spans="1:1" s="15" customFormat="1">
      <c r="A211" s="4"/>
    </row>
    <row r="212" spans="1:1" s="15" customFormat="1">
      <c r="A212" s="4"/>
    </row>
    <row r="213" spans="1:1" s="15" customFormat="1">
      <c r="A213" s="4"/>
    </row>
    <row r="214" spans="1:1" s="15" customFormat="1">
      <c r="A214" s="4"/>
    </row>
    <row r="215" spans="1:1" s="15" customFormat="1">
      <c r="A215" s="4"/>
    </row>
    <row r="216" spans="1:1" s="15" customFormat="1">
      <c r="A216" s="4"/>
    </row>
    <row r="217" spans="1:1" s="15" customFormat="1">
      <c r="A217" s="4"/>
    </row>
    <row r="218" spans="1:1" s="15" customFormat="1">
      <c r="A218" s="4"/>
    </row>
    <row r="219" spans="1:1" s="15" customFormat="1">
      <c r="A219" s="4"/>
    </row>
    <row r="220" spans="1:1" s="15" customFormat="1">
      <c r="A220" s="4"/>
    </row>
    <row r="221" spans="1:1" s="15" customFormat="1">
      <c r="A221" s="4"/>
    </row>
    <row r="222" spans="1:1" s="15" customFormat="1">
      <c r="A222" s="4"/>
    </row>
    <row r="223" spans="1:1" s="15" customFormat="1">
      <c r="A223" s="4"/>
    </row>
    <row r="224" spans="1:1" s="15" customFormat="1">
      <c r="A224" s="4"/>
    </row>
    <row r="225" spans="1:1" s="15" customFormat="1">
      <c r="A225" s="4"/>
    </row>
    <row r="226" spans="1:1" s="15" customFormat="1">
      <c r="A226" s="4"/>
    </row>
    <row r="227" spans="1:1" s="15" customFormat="1">
      <c r="A227" s="4"/>
    </row>
    <row r="228" spans="1:1" s="15" customFormat="1">
      <c r="A228" s="4"/>
    </row>
    <row r="229" spans="1:1" s="15" customFormat="1">
      <c r="A229" s="4"/>
    </row>
    <row r="230" spans="1:1" s="15" customFormat="1">
      <c r="A230" s="4"/>
    </row>
    <row r="231" spans="1:1" s="15" customFormat="1">
      <c r="A231" s="4"/>
    </row>
    <row r="232" spans="1:1" s="15" customFormat="1">
      <c r="A232" s="4"/>
    </row>
    <row r="233" spans="1:1" s="15" customFormat="1">
      <c r="A233" s="4"/>
    </row>
    <row r="234" spans="1:1" s="15" customFormat="1">
      <c r="A234" s="4"/>
    </row>
    <row r="235" spans="1:1" s="15" customFormat="1">
      <c r="A235" s="4"/>
    </row>
    <row r="236" spans="1:1" s="15" customFormat="1">
      <c r="A236" s="4"/>
    </row>
    <row r="237" spans="1:1" s="15" customFormat="1">
      <c r="A237" s="4"/>
    </row>
    <row r="238" spans="1:1" s="15" customFormat="1">
      <c r="A238" s="4"/>
    </row>
    <row r="239" spans="1:1" s="15" customFormat="1">
      <c r="A239" s="4"/>
    </row>
    <row r="240" spans="1:1" s="15" customFormat="1">
      <c r="A240" s="4"/>
    </row>
    <row r="241" spans="1:1" s="15" customFormat="1">
      <c r="A241" s="4"/>
    </row>
    <row r="242" spans="1:1" s="15" customFormat="1">
      <c r="A242" s="4"/>
    </row>
    <row r="243" spans="1:1" s="15" customFormat="1">
      <c r="A243" s="4"/>
    </row>
    <row r="244" spans="1:1" s="15" customFormat="1">
      <c r="A244" s="4"/>
    </row>
    <row r="245" spans="1:1" s="15" customFormat="1">
      <c r="A245" s="4"/>
    </row>
    <row r="246" spans="1:1" s="15" customFormat="1">
      <c r="A246" s="4"/>
    </row>
    <row r="247" spans="1:1" s="15" customFormat="1">
      <c r="A247" s="4"/>
    </row>
    <row r="248" spans="1:1" s="15" customFormat="1">
      <c r="A248" s="4"/>
    </row>
    <row r="249" spans="1:1" s="15" customFormat="1">
      <c r="A249" s="4"/>
    </row>
    <row r="250" spans="1:1" s="15" customFormat="1">
      <c r="A250" s="4"/>
    </row>
    <row r="251" spans="1:1" s="15" customFormat="1">
      <c r="A251" s="4"/>
    </row>
    <row r="252" spans="1:1" s="15" customFormat="1">
      <c r="A252" s="4"/>
    </row>
    <row r="253" spans="1:1" s="15" customFormat="1">
      <c r="A253" s="4"/>
    </row>
    <row r="254" spans="1:1" s="15" customFormat="1">
      <c r="A254" s="4"/>
    </row>
    <row r="255" spans="1:1" s="15" customFormat="1">
      <c r="A255" s="4"/>
    </row>
    <row r="256" spans="1:1" s="15" customFormat="1">
      <c r="A256" s="4"/>
    </row>
    <row r="257" spans="1:1" s="15" customFormat="1">
      <c r="A257" s="4"/>
    </row>
    <row r="258" spans="1:1" s="15" customFormat="1">
      <c r="A258" s="4"/>
    </row>
    <row r="259" spans="1:1" s="15" customFormat="1">
      <c r="A259" s="4"/>
    </row>
    <row r="260" spans="1:1" s="15" customFormat="1">
      <c r="A260" s="4"/>
    </row>
    <row r="261" spans="1:1" s="15" customFormat="1">
      <c r="A261" s="4"/>
    </row>
    <row r="262" spans="1:1" s="15" customFormat="1">
      <c r="A262" s="4"/>
    </row>
    <row r="263" spans="1:1" s="15" customFormat="1">
      <c r="A263" s="4"/>
    </row>
    <row r="264" spans="1:1" s="15" customFormat="1">
      <c r="A264" s="4"/>
    </row>
    <row r="265" spans="1:1" s="15" customFormat="1">
      <c r="A265" s="4"/>
    </row>
    <row r="266" spans="1:1" s="15" customFormat="1">
      <c r="A266" s="4"/>
    </row>
    <row r="267" spans="1:1" s="15" customFormat="1">
      <c r="A267" s="4"/>
    </row>
    <row r="268" spans="1:1" s="15" customFormat="1">
      <c r="A268" s="4"/>
    </row>
    <row r="269" spans="1:1" s="15" customFormat="1">
      <c r="A269" s="4"/>
    </row>
    <row r="270" spans="1:1" s="15" customFormat="1">
      <c r="A270" s="4"/>
    </row>
    <row r="271" spans="1:1" s="15" customFormat="1">
      <c r="A271" s="4"/>
    </row>
    <row r="272" spans="1:1" s="15" customFormat="1">
      <c r="A272" s="4"/>
    </row>
    <row r="273" spans="1:1" s="15" customFormat="1">
      <c r="A273" s="4"/>
    </row>
    <row r="274" spans="1:1" s="15" customFormat="1">
      <c r="A274" s="4"/>
    </row>
    <row r="275" spans="1:1" s="15" customFormat="1">
      <c r="A275" s="4"/>
    </row>
    <row r="276" spans="1:1" s="15" customFormat="1">
      <c r="A276" s="4"/>
    </row>
    <row r="277" spans="1:1" s="15" customFormat="1">
      <c r="A277" s="4"/>
    </row>
    <row r="278" spans="1:1" s="15" customFormat="1">
      <c r="A278" s="4"/>
    </row>
    <row r="279" spans="1:1" s="15" customFormat="1">
      <c r="A279" s="4"/>
    </row>
    <row r="280" spans="1:1" s="15" customFormat="1">
      <c r="A280" s="4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851b35d3-0456-4d6a-bc2f-da927e91d158"/>
    <ds:schemaRef ds:uri="19483571-f922-4e8e-9c1c-26f0a2252132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Douglas</cp:lastModifiedBy>
  <dcterms:created xsi:type="dcterms:W3CDTF">2024-12-19T13:13:10Z</dcterms:created>
  <dcterms:modified xsi:type="dcterms:W3CDTF">2026-10-17T20:24:49Z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